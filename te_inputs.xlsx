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\DIG\"/>
    </mc:Choice>
  </mc:AlternateContent>
  <xr:revisionPtr revIDLastSave="0" documentId="13_ncr:1_{A8FAE63B-F8CF-4ABA-ACE4-B8F8CDCE1B1A}" xr6:coauthVersionLast="47" xr6:coauthVersionMax="47" xr10:uidLastSave="{00000000-0000-0000-0000-000000000000}"/>
  <bookViews>
    <workbookView xWindow="31125" yWindow="5010" windowWidth="17280" windowHeight="9960" activeTab="2" xr2:uid="{C749283A-FC2C-4C49-8A94-2CC36D708FFA}"/>
  </bookViews>
  <sheets>
    <sheet name="Sector" sheetId="1" r:id="rId1"/>
    <sheet name="Current_Holdings" sheetId="2" r:id="rId2"/>
    <sheet name="Proposed_Hold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<sst xmlns="http://schemas.openxmlformats.org/spreadsheetml/2006/main" count="24" uniqueCount="21">
  <si>
    <t>sector_name</t>
  </si>
  <si>
    <t>DIG_sector_weight</t>
  </si>
  <si>
    <t>SPXE_sector_weight</t>
  </si>
  <si>
    <t>sector_volatility</t>
  </si>
  <si>
    <t>DIG_sector_beta</t>
  </si>
  <si>
    <t>benchmark_sector_beta</t>
  </si>
  <si>
    <t>market_volatility</t>
  </si>
  <si>
    <t>sector_guideline</t>
  </si>
  <si>
    <t>Industrials and Materials</t>
  </si>
  <si>
    <t>Beta</t>
  </si>
  <si>
    <t>proposed_weight</t>
  </si>
  <si>
    <t>FCX</t>
  </si>
  <si>
    <t>BLD</t>
  </si>
  <si>
    <t>VERT</t>
  </si>
  <si>
    <t>in_benchmark</t>
  </si>
  <si>
    <t>GE</t>
  </si>
  <si>
    <t>DE</t>
  </si>
  <si>
    <t>STRL</t>
  </si>
  <si>
    <t>CR</t>
  </si>
  <si>
    <t>Ticker</t>
  </si>
  <si>
    <t>Sector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</si>
</sst>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8EF7-E798-4B11-BC04-8B57F4A31BFE}">
  <dimension ref="A1:H2"/>
  <sheetViews>
    <sheetView workbookViewId="0">
      <selection activeCell="D10" sqref="D10"/>
    </sheetView>
  </sheetViews>
  <sheetFormatPr defaultRowHeight="14.4" x14ac:dyDescent="0.3"/>
  <cols>
    <col min="1" max="1" width="22.88671875" bestFit="1" customWidth="1"/>
    <col min="2" max="2" width="17.77734375" customWidth="1"/>
    <col min="3" max="3" width="21.77734375" customWidth="1"/>
    <col min="4" max="4" width="17.88671875" customWidth="1"/>
    <col min="5" max="5" width="15.88671875" customWidth="1"/>
    <col min="6" max="6" width="21.77734375" bestFit="1" customWidth="1"/>
    <col min="7" max="7" width="17.109375" customWidth="1"/>
    <col min="8" max="8" width="15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9.4200000000000006E-2</v>
      </c>
      <c r="C2">
        <v>0.1079</v>
      </c>
      <c r="D2">
        <v>1.545E-2</v>
      </c>
      <c r="E2">
        <f>SUMPRODUCT(Current_Holdings!B2:B4, Current_Holdings!C2:C4)</f>
        <v>1.409759</v>
      </c>
      <c r="F2">
        <v>1.17</v>
      </c>
      <c r="G2">
        <v>0.19</v>
      </c>
      <c r="H2">
        <v>1.7500000000000002E-2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C70B-A2A0-4D3F-A543-5AC503D961B8}">
  <dimension ref="A1:D4"/>
  <sheetViews>
    <sheetView workbookViewId="0">
      <selection activeCell="C6" sqref="C6"/>
    </sheetView>
  </sheetViews>
  <sheetFormatPr defaultRowHeight="14.4" x14ac:dyDescent="0.3"/>
  <cols>
    <col min="2" max="2" width="14.21875" customWidth="1"/>
    <col min="4" max="4" width="15.33203125" customWidth="1"/>
  </cols>
  <sheetData>
    <row r="1" spans="1:4" x14ac:dyDescent="0.3">
      <c r="A1" t="s">
        <v>19</v>
      </c>
      <c r="B1" t="s">
        <v>20</v>
      </c>
      <c r="C1" t="s">
        <v>9</v>
      </c>
      <c r="D1" t="s">
        <v>14</v>
      </c>
    </row>
    <row r="2" spans="1:4" x14ac:dyDescent="0.3">
      <c r="A2" t="s">
        <v>11</v>
      </c>
      <c r="B2">
        <v>0.2555</v>
      </c>
      <c r="C2">
        <v>1.39</v>
      </c>
      <c r="D2" t="b">
        <v>1</v>
      </c>
    </row>
    <row r="3" spans="1:4" x14ac:dyDescent="0.3">
      <c r="A3" t="s">
        <v>12</v>
      </c>
      <c r="B3">
        <v>0.26779999999999998</v>
      </c>
      <c r="C3">
        <v>1.98</v>
      </c>
      <c r="D3" t="b">
        <v>0</v>
      </c>
    </row>
    <row r="4" spans="1:4" x14ac:dyDescent="0.3">
      <c r="A4" t="s">
        <v>13</v>
      </c>
      <c r="B4">
        <v>0.47670000000000001</v>
      </c>
      <c r="C4">
        <v>1.1000000000000001</v>
      </c>
      <c r="D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1A4B-C31F-4036-B644-6F28024A1C81}">
  <dimension ref="A1:D5"/>
  <sheetViews>
    <sheetView tabSelected="1" workbookViewId="0">
      <selection activeCell="D6" sqref="D6"/>
    </sheetView>
  </sheetViews>
  <sheetFormatPr defaultRowHeight="14.4" x14ac:dyDescent="0.3"/>
  <cols>
    <col min="1" max="1" width="24.21875" customWidth="1"/>
    <col min="2" max="2" width="21.21875" customWidth="1"/>
    <col min="3" max="3" width="17.109375" customWidth="1"/>
  </cols>
  <sheetData>
    <row r="1" spans="1:4" x14ac:dyDescent="0.3">
      <c r="A1" t="s">
        <v>19</v>
      </c>
      <c r="B1" t="s">
        <v>10</v>
      </c>
      <c r="C1" t="s">
        <v>9</v>
      </c>
      <c r="D1" t="s">
        <v>14</v>
      </c>
    </row>
    <row r="2" spans="1:4" x14ac:dyDescent="0.3">
      <c r="A2" t="s">
        <v>15</v>
      </c>
      <c r="B2">
        <v>0.15</v>
      </c>
      <c r="C2">
        <v>1.37</v>
      </c>
      <c r="D2" t="b">
        <v>1</v>
      </c>
    </row>
    <row r="3" spans="1:4" x14ac:dyDescent="0.3">
      <c r="A3" t="s">
        <v>16</v>
      </c>
      <c r="B3">
        <v>0.5</v>
      </c>
      <c r="C3">
        <v>1.04</v>
      </c>
      <c r="D3" t="b">
        <v>0</v>
      </c>
    </row>
    <row r="4" spans="1:4" x14ac:dyDescent="0.3">
      <c r="A4" t="s">
        <v>17</v>
      </c>
      <c r="B4">
        <v>0.05</v>
      </c>
      <c r="C4">
        <v>1.82</v>
      </c>
      <c r="D4" t="b">
        <v>1</v>
      </c>
    </row>
    <row r="5" spans="1:4" x14ac:dyDescent="0.3">
      <c r="A5" t="s">
        <v>18</v>
      </c>
      <c r="B5">
        <v>0.3</v>
      </c>
      <c r="C5">
        <v>1.2</v>
      </c>
      <c r="D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Sector</vt:lpstr>
      <vt:lpstr>Current_Holdings</vt:lpstr>
      <vt:lpstr>Proposed_Holdings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Giselle Alexander</dc:creator>
  <cp:lastModifiedBy>Giselle Alexander</cp:lastModifiedBy>
  <dcterms:created xsi:type="dcterms:W3CDTF">2026-01-20T18:17:38Z</dcterms:created>
  <dcterms:modified xsi:type="dcterms:W3CDTF">2026-01-20T19:51:08Z</dcterms:modified>
</cp:coreProperties>
</file>